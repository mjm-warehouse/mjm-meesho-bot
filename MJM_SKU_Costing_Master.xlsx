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U_Master_Cost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"/>
  <sheetViews>
    <sheetView workbookViewId="0"/>
  </sheetViews>
  <cols>
    <col min="1" max="1" width="8.83203125" customWidth="1"/>
    <col min="2" max="2" width="32.83203125" customWidth="1"/>
    <col min="3" max="3" width="50.83203125" customWidth="1"/>
    <col min="4" max="4" width="25.83203125" customWidth="1"/>
    <col min="5" max="5" width="18.83203125" customWidth="1"/>
    <col min="6" max="6" width="18.83203125" customWidth="1"/>
    <col min="7" max="7" width="18.83203125" customWidth="1"/>
    <col min="8" max="8" width="20.83203125" customWidth="1"/>
    <col min="9" max="9" width="20.83203125" customWidth="1"/>
    <col min="10" max="10" width="28.83203125" customWidth="1"/>
    <col min="11" max="11" width="20.83203125" customWidth="1"/>
    <col min="12" max="12" width="20.83203125" customWidth="1"/>
    <col min="13" max="13" width="24.83203125" customWidth="1"/>
    <col min="14" max="14" width="18.83203125" customWidth="1"/>
    <col min="15" max="15" width="15.83203125" customWidth="1"/>
  </cols>
  <sheetData>
    <row r="1">
      <c r="A1" t="str">
        <v>S.No</v>
      </c>
      <c r="B1" t="str">
        <v>SKU ID (Style ID)</v>
      </c>
      <c r="C1" t="str">
        <v>Product Name</v>
      </c>
      <c r="D1" t="str">
        <v>Category</v>
      </c>
      <c r="E1" t="str">
        <v>Customer Price (Rs)</v>
      </c>
      <c r="F1" t="str">
        <v>Bank Payout (Rs)</v>
      </c>
      <c r="G1" t="str">
        <v>Meesho Shipping (Rs)</v>
      </c>
      <c r="H1" t="str">
        <v>Purchase Cost (Rs)</v>
      </c>
      <c r="I1" t="str">
        <v>Packaging Cost (Rs)</v>
      </c>
      <c r="J1" t="str">
        <v>Influencer Comm (% or Flat Rs)</v>
      </c>
      <c r="K1" t="str">
        <v>Influencer Cost (Rs)</v>
      </c>
      <c r="L1" t="str">
        <v>Total Cost (Rs)</v>
      </c>
      <c r="M1" t="str">
        <v>Net Profit per Order (Rs)</v>
      </c>
      <c r="N1" t="str">
        <v>Profit Margin (%)</v>
      </c>
      <c r="O1" t="str">
        <v>Current Stock</v>
      </c>
    </row>
    <row r="2">
      <c r="A2" t="str">
        <v>1</v>
      </c>
      <c r="B2" t="str">
        <v>MJM-MOTO-WP360</v>
      </c>
      <c r="C2" t="str">
        <v>MJM Rainproof Motorcycle Mobile Holder 360° Rotatable Phone Mount</v>
      </c>
      <c r="D2" t="str">
        <v>Unique Motorcycle Mobile Holders</v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0</v>
      </c>
      <c r="K2">
        <f>IF(J2&gt;0, IF(J2&lt;1, F2*J2, J2), 0)</f>
      </c>
      <c r="L2">
        <f>H2+I2+K2</f>
      </c>
      <c r="M2">
        <f>IF(F2&gt;0, F2-L2, -L2)</f>
      </c>
      <c r="N2">
        <f>IF(F2&gt;0, ROUND((M2/F2)*100, 1), 0)</f>
      </c>
      <c r="O2">
        <v>0</v>
      </c>
    </row>
    <row r="3">
      <c r="A3" t="str">
        <v>2</v>
      </c>
      <c r="B3" t="str">
        <v>MJM-JAPNAM-4</v>
      </c>
      <c r="C3" t="str">
        <v>MJM Digital Electronic Mini Finger Ring Tally Japa Counter (Pack of 4)</v>
      </c>
      <c r="D3" t="str">
        <v>Fancy Cricket Umpire Counters</v>
      </c>
      <c r="E3">
        <v>223</v>
      </c>
      <c r="F3">
        <v>158</v>
      </c>
      <c r="G3" t="str">
        <v>68</v>
      </c>
      <c r="H3" t="str">
        <v/>
      </c>
      <c r="I3" t="str">
        <v/>
      </c>
      <c r="J3">
        <v>0</v>
      </c>
      <c r="K3">
        <f>IF(J3&gt;0, IF(J3&lt;1, F3*J3, J3), 0)</f>
      </c>
      <c r="L3">
        <f>H3+I3+K3</f>
      </c>
      <c r="M3">
        <f>IF(F3&gt;0, F3-L3, -L3)</f>
      </c>
      <c r="N3">
        <f>IF(F3&gt;0, ROUND((M3/F3)*100, 1), 0)</f>
      </c>
      <c r="O3">
        <v>1000</v>
      </c>
    </row>
    <row r="4">
      <c r="A4" t="str">
        <v>3</v>
      </c>
      <c r="B4" t="str">
        <v>MJM-IPACKY-SAMA16-5G-BLK-TG-001</v>
      </c>
      <c r="C4" t="str">
        <v>MJM Hard Anti Yellow Case + 9H Glass Combo (Samsung A16 5G)</v>
      </c>
      <c r="D4" t="str">
        <v>Samsung Galaxy A16 5G Cases &amp; Covers</v>
      </c>
      <c r="E4">
        <v>220</v>
      </c>
      <c r="F4">
        <v>148</v>
      </c>
      <c r="G4" t="str">
        <v>88</v>
      </c>
      <c r="H4" t="str">
        <v/>
      </c>
      <c r="I4" t="str">
        <v/>
      </c>
      <c r="J4">
        <v>0</v>
      </c>
      <c r="K4">
        <f>IF(J4&gt;0, IF(J4&lt;1, F4*J4, J4), 0)</f>
      </c>
      <c r="L4">
        <f>H4+I4+K4</f>
      </c>
      <c r="M4">
        <f>IF(F4&gt;0, F4-L4, -L4)</f>
      </c>
      <c r="N4">
        <f>IF(F4&gt;0, ROUND((M4/F4)*100, 1), 0)</f>
      </c>
      <c r="O4">
        <v>1000</v>
      </c>
    </row>
    <row r="5">
      <c r="A5" t="str">
        <v>4</v>
      </c>
      <c r="B5" t="str">
        <v>MJM-R1S-LONG-BLK-001</v>
      </c>
      <c r="C5" t="str">
        <v>MJM 170CM Selfie Stick Tripod with Bluetooth Remote</v>
      </c>
      <c r="D5" t="str">
        <v>New Collections Of Selfie Stick</v>
      </c>
      <c r="E5">
        <v>319</v>
      </c>
      <c r="F5">
        <v>249</v>
      </c>
      <c r="G5" t="str">
        <v>73</v>
      </c>
      <c r="H5" t="str">
        <v/>
      </c>
      <c r="I5" t="str">
        <v/>
      </c>
      <c r="J5">
        <v>0</v>
      </c>
      <c r="K5">
        <f>IF(J5&gt;0, IF(J5&lt;1, F5*J5, J5), 0)</f>
      </c>
      <c r="L5">
        <f>H5+I5+K5</f>
      </c>
      <c r="M5">
        <f>IF(F5&gt;0, F5-L5, -L5)</f>
      </c>
      <c r="N5">
        <f>IF(F5&gt;0, ROUND((M5/F5)*100, 1), 0)</f>
      </c>
      <c r="O5">
        <v>94</v>
      </c>
    </row>
    <row r="6">
      <c r="A6" t="str">
        <v>5</v>
      </c>
      <c r="B6" t="str">
        <v>MJM-OU-TG-SAMA16-001</v>
      </c>
      <c r="C6" t="str">
        <v>MJM Soft Transparent TPU Back Cover + 9H Glass Combo (Samsung A16 5G)</v>
      </c>
      <c r="D6" t="str">
        <v>Samsung Galaxy A16 5G Cases &amp; Covers</v>
      </c>
      <c r="E6">
        <v>170</v>
      </c>
      <c r="F6">
        <v>100</v>
      </c>
      <c r="G6" t="str">
        <v>88</v>
      </c>
      <c r="H6" t="str">
        <v/>
      </c>
      <c r="I6" t="str">
        <v/>
      </c>
      <c r="J6">
        <v>0</v>
      </c>
      <c r="K6">
        <f>IF(J6&gt;0, IF(J6&lt;1, F6*J6, J6), 0)</f>
      </c>
      <c r="L6">
        <f>H6+I6+K6</f>
      </c>
      <c r="M6">
        <f>IF(F6&gt;0, F6-L6, -L6)</f>
      </c>
      <c r="N6">
        <f>IF(F6&gt;0, ROUND((M6/F6)*100, 1), 0)</f>
      </c>
      <c r="O6">
        <v>499</v>
      </c>
    </row>
    <row r="7">
      <c r="A7" t="str">
        <v>6</v>
      </c>
      <c r="B7" t="str">
        <v>MJM-TJ-SAMA16-BLK-001</v>
      </c>
      <c r="C7" t="str">
        <v>MJM Cute Tom &amp; Jerry Case + 9H Glass (Samsung A16 5G) - Black</v>
      </c>
      <c r="D7" t="str">
        <v>Samsung Galaxy A16 5G Cases &amp; Covers</v>
      </c>
      <c r="E7">
        <v>222</v>
      </c>
      <c r="F7">
        <v>148</v>
      </c>
      <c r="G7" t="str">
        <v>88</v>
      </c>
      <c r="H7" t="str">
        <v/>
      </c>
      <c r="I7" t="str">
        <v/>
      </c>
      <c r="J7">
        <v>0</v>
      </c>
      <c r="K7">
        <f>IF(J7&gt;0, IF(J7&lt;1, F7*J7, J7), 0)</f>
      </c>
      <c r="L7">
        <f>H7+I7+K7</f>
      </c>
      <c r="M7">
        <f>IF(F7&gt;0, F7-L7, -L7)</f>
      </c>
      <c r="N7">
        <f>IF(F7&gt;0, ROUND((M7/F7)*100, 1), 0)</f>
      </c>
      <c r="O7">
        <v>10</v>
      </c>
    </row>
    <row r="8">
      <c r="A8" t="str">
        <v>7</v>
      </c>
      <c r="B8" t="str">
        <v>MJM-TJ-SAMA16-BRN-001</v>
      </c>
      <c r="C8" t="str">
        <v>MJM Cute Tom &amp; Jerry Case + 9H Glass (Samsung A16 5G) - Brown</v>
      </c>
      <c r="D8" t="str">
        <v>Samsung Galaxy A16 5G Cases &amp; Covers</v>
      </c>
      <c r="E8">
        <v>220</v>
      </c>
      <c r="F8">
        <v>148</v>
      </c>
      <c r="G8" t="str">
        <v>88</v>
      </c>
      <c r="H8" t="str">
        <v/>
      </c>
      <c r="I8" t="str">
        <v/>
      </c>
      <c r="J8">
        <v>0</v>
      </c>
      <c r="K8">
        <f>IF(J8&gt;0, IF(J8&lt;1, F8*J8, J8), 0)</f>
      </c>
      <c r="L8">
        <f>H8+I8+K8</f>
      </c>
      <c r="M8">
        <f>IF(F8&gt;0, F8-L8, -L8)</f>
      </c>
      <c r="N8">
        <f>IF(F8&gt;0, ROUND((M8/F8)*100, 1), 0)</f>
      </c>
      <c r="O8">
        <v>9</v>
      </c>
    </row>
    <row r="9">
      <c r="A9" t="str">
        <v>8</v>
      </c>
      <c r="B9" t="str">
        <v>MJM-TJ-SAMA16-GRN-001</v>
      </c>
      <c r="C9" t="str">
        <v>MJM Cute Tom &amp; Jerry Case + 9H Glass (Samsung A16 5G) - Green</v>
      </c>
      <c r="D9" t="str">
        <v>Samsung Galaxy A16 5G Cases &amp; Covers</v>
      </c>
      <c r="E9">
        <v>222</v>
      </c>
      <c r="F9">
        <v>148</v>
      </c>
      <c r="G9" t="str">
        <v>88</v>
      </c>
      <c r="H9" t="str">
        <v/>
      </c>
      <c r="I9" t="str">
        <v/>
      </c>
      <c r="J9">
        <v>0</v>
      </c>
      <c r="K9">
        <f>IF(J9&gt;0, IF(J9&lt;1, F9*J9, J9), 0)</f>
      </c>
      <c r="L9">
        <f>H9+I9+K9</f>
      </c>
      <c r="M9">
        <f>IF(F9&gt;0, F9-L9, -L9)</f>
      </c>
      <c r="N9">
        <f>IF(F9&gt;0, ROUND((M9/F9)*100, 1), 0)</f>
      </c>
      <c r="O9">
        <v>9</v>
      </c>
    </row>
    <row r="10">
      <c r="A10" t="str">
        <v>9</v>
      </c>
      <c r="B10" t="str">
        <v>MJM-TJ-SAMA16-MRN-001</v>
      </c>
      <c r="C10" t="str">
        <v>MJM Cute Tom &amp; Jerry Case + 9H Glass (Samsung A16 5G) - Maroon</v>
      </c>
      <c r="D10" t="str">
        <v>Samsung Galaxy A16 5G Cases &amp; Covers</v>
      </c>
      <c r="E10">
        <v>222</v>
      </c>
      <c r="F10">
        <v>148</v>
      </c>
      <c r="G10" t="str">
        <v>88</v>
      </c>
      <c r="H10" t="str">
        <v/>
      </c>
      <c r="I10" t="str">
        <v/>
      </c>
      <c r="J10">
        <v>0</v>
      </c>
      <c r="K10">
        <f>IF(J10&gt;0, IF(J10&lt;1, F10*J10, J10), 0)</f>
      </c>
      <c r="L10">
        <f>H10+I10+K10</f>
      </c>
      <c r="M10">
        <f>IF(F10&gt;0, F10-L10, -L10)</f>
      </c>
      <c r="N10">
        <f>IF(F10&gt;0, ROUND((M10/F10)*100, 1), 0)</f>
      </c>
      <c r="O10">
        <v>10</v>
      </c>
    </row>
    <row r="11">
      <c r="A11" t="str">
        <v>10</v>
      </c>
      <c r="B11" t="str">
        <v>MJM-3IN1-TDY-BLK-1PC</v>
      </c>
      <c r="C11" t="str">
        <v>MJM 100W 3 in 1 Fast Charging Cable with LED Light (Black)</v>
      </c>
      <c r="D11" t="str">
        <v>Cables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>
        <v>0</v>
      </c>
      <c r="K11">
        <f>IF(J11&gt;0, IF(J11&lt;1, F11*J11, J11), 0)</f>
      </c>
      <c r="L11">
        <f>H11+I11+K11</f>
      </c>
      <c r="M11">
        <f>IF(F11&gt;0, F11-L11, -L11)</f>
      </c>
      <c r="N11">
        <f>IF(F11&gt;0, ROUND((M11/F11)*100, 1), 0)</f>
      </c>
      <c r="O11">
        <v>0</v>
      </c>
    </row>
    <row r="12">
      <c r="A12" t="str">
        <v>11</v>
      </c>
      <c r="B12" t="str">
        <v>MJM-SPARK20-SLC-TG-COMBO-GREEN</v>
      </c>
      <c r="C12" t="str">
        <v>MJM Silicone Case + 9H Glass Combo (Tecno Spark 20) - Green</v>
      </c>
      <c r="D12" t="str">
        <v>Tecno Spark 20 Cases &amp; Covers</v>
      </c>
      <c r="E12">
        <v>170</v>
      </c>
      <c r="F12">
        <v>100</v>
      </c>
      <c r="G12" t="str">
        <v>88</v>
      </c>
      <c r="H12" t="str">
        <v/>
      </c>
      <c r="I12" t="str">
        <v/>
      </c>
      <c r="J12">
        <v>0</v>
      </c>
      <c r="K12">
        <f>IF(J12&gt;0, IF(J12&lt;1, F12*J12, J12), 0)</f>
      </c>
      <c r="L12">
        <f>H12+I12+K12</f>
      </c>
      <c r="M12">
        <f>IF(F12&gt;0, F12-L12, -L12)</f>
      </c>
      <c r="N12">
        <f>IF(F12&gt;0, ROUND((M12/F12)*100, 1), 0)</f>
      </c>
      <c r="O12">
        <v>50</v>
      </c>
    </row>
    <row r="13">
      <c r="A13" t="str">
        <v>12</v>
      </c>
      <c r="B13" t="str">
        <v>MJM-SPARK20-SLC-TG-COMBO-BLK</v>
      </c>
      <c r="C13" t="str">
        <v>MJM Silicone Case + 9H Glass Combo (Tecno Spark 20) - Black</v>
      </c>
      <c r="D13" t="str">
        <v>Tecno Spark 20 Cases &amp; Covers</v>
      </c>
      <c r="E13">
        <v>170</v>
      </c>
      <c r="F13">
        <v>100</v>
      </c>
      <c r="G13" t="str">
        <v>88</v>
      </c>
      <c r="H13" t="str">
        <v/>
      </c>
      <c r="I13" t="str">
        <v/>
      </c>
      <c r="J13">
        <v>0</v>
      </c>
      <c r="K13">
        <f>IF(J13&gt;0, IF(J13&lt;1, F13*J13, J13), 0)</f>
      </c>
      <c r="L13">
        <f>H13+I13+K13</f>
      </c>
      <c r="M13">
        <f>IF(F13&gt;0, F13-L13, -L13)</f>
      </c>
      <c r="N13">
        <f>IF(F13&gt;0, ROUND((M13/F13)*100, 1), 0)</f>
      </c>
      <c r="O13">
        <v>49</v>
      </c>
    </row>
    <row r="14">
      <c r="A14" t="str">
        <v>13</v>
      </c>
      <c r="B14" t="str">
        <v>MJM-SPARK20-SLC-TG-COMBO-BLUE</v>
      </c>
      <c r="C14" t="str">
        <v>MJM Silicone Case + 9H Glass Combo (Tecno Spark 20) - Blue</v>
      </c>
      <c r="D14" t="str">
        <v>Tecno Spark 20 Cases &amp; Covers</v>
      </c>
      <c r="E14">
        <v>168</v>
      </c>
      <c r="F14">
        <v>100</v>
      </c>
      <c r="G14" t="str">
        <v>88</v>
      </c>
      <c r="H14" t="str">
        <v/>
      </c>
      <c r="I14" t="str">
        <v/>
      </c>
      <c r="J14">
        <v>0</v>
      </c>
      <c r="K14">
        <f>IF(J14&gt;0, IF(J14&lt;1, F14*J14, J14), 0)</f>
      </c>
      <c r="L14">
        <f>H14+I14+K14</f>
      </c>
      <c r="M14">
        <f>IF(F14&gt;0, F14-L14, -L14)</f>
      </c>
      <c r="N14">
        <f>IF(F14&gt;0, ROUND((M14/F14)*100, 1), 0)</f>
      </c>
      <c r="O14">
        <v>47</v>
      </c>
    </row>
    <row r="15">
      <c r="A15" t="str">
        <v>14</v>
      </c>
      <c r="B15" t="str">
        <v>MJM-GFS-30PAIR-YELLOW-01</v>
      </c>
      <c r="C15" t="str">
        <v>MJM Premium Gaming Finger Sleeves 30 Pair (60 Pcs)</v>
      </c>
      <c r="D15" t="str">
        <v>Classy Finger Sleeves</v>
      </c>
      <c r="E15">
        <v>313</v>
      </c>
      <c r="F15">
        <v>228</v>
      </c>
      <c r="G15" t="str">
        <v>96</v>
      </c>
      <c r="H15" t="str">
        <v/>
      </c>
      <c r="I15" t="str">
        <v/>
      </c>
      <c r="J15">
        <v>0</v>
      </c>
      <c r="K15">
        <f>IF(J15&gt;0, IF(J15&lt;1, F15*J15, J15), 0)</f>
      </c>
      <c r="L15">
        <f>H15+I15+K15</f>
      </c>
      <c r="M15">
        <f>IF(F15&gt;0, F15-L15, -L15)</f>
      </c>
      <c r="N15">
        <f>IF(F15&gt;0, ROUND((M15/F15)*100, 1), 0)</f>
      </c>
      <c r="O15">
        <v>1000</v>
      </c>
    </row>
    <row r="16">
      <c r="A16" t="str">
        <v>15</v>
      </c>
      <c r="B16" t="str">
        <v>MJM-BSC2-BLK-001</v>
      </c>
      <c r="C16" t="str">
        <v>MJM Motorcycle Mobile Holder Rear View Mirror Mount - Black</v>
      </c>
      <c r="D16" t="str">
        <v>Pretty Motorcycle Mobile Holders</v>
      </c>
      <c r="E16">
        <v>294</v>
      </c>
      <c r="F16">
        <v>218</v>
      </c>
      <c r="G16" t="str">
        <v>82</v>
      </c>
      <c r="H16" t="str">
        <v/>
      </c>
      <c r="I16" t="str">
        <v/>
      </c>
      <c r="J16">
        <v>0</v>
      </c>
      <c r="K16">
        <f>IF(J16&gt;0, IF(J16&lt;1, F16*J16, J16), 0)</f>
      </c>
      <c r="L16">
        <f>H16+I16+K16</f>
      </c>
      <c r="M16">
        <f>IF(F16&gt;0, F16-L16, -L16)</f>
      </c>
      <c r="N16">
        <f>IF(F16&gt;0, ROUND((M16/F16)*100, 1), 0)</f>
      </c>
      <c r="O16">
        <v>1000</v>
      </c>
    </row>
    <row r="17">
      <c r="A17" t="str">
        <v>16</v>
      </c>
      <c r="B17" t="str">
        <v>MJM-1WLED-12PC-WHITE-001</v>
      </c>
      <c r="C17" t="str">
        <v>MJM USB Mini LED Light 1W (Pack of 12) - White</v>
      </c>
      <c r="D17" t="str">
        <v>Fancy Night Lights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>
        <v>0</v>
      </c>
      <c r="K17">
        <f>IF(J17&gt;0, IF(J17&lt;1, F17*J17, J17), 0)</f>
      </c>
      <c r="L17">
        <f>H17+I17+K17</f>
      </c>
      <c r="M17">
        <f>IF(F17&gt;0, F17-L17, -L17)</f>
      </c>
      <c r="N17">
        <f>IF(F17&gt;0, ROUND((M17/F17)*100, 1), 0)</f>
      </c>
      <c r="O17">
        <v>1000</v>
      </c>
    </row>
    <row r="18">
      <c r="A18" t="str">
        <v>17</v>
      </c>
      <c r="B18" t="str">
        <v>MJM-BSC1-METAL-BLK-01</v>
      </c>
      <c r="C18" t="str">
        <v>MJM Metal Bike Mobile Holder 360° Rotatable - Black</v>
      </c>
      <c r="D18" t="str">
        <v>Classy Motorcycle Mobile Holders</v>
      </c>
      <c r="E18">
        <v>294</v>
      </c>
      <c r="F18">
        <v>218</v>
      </c>
      <c r="G18" t="str">
        <v>82</v>
      </c>
      <c r="H18" t="str">
        <v/>
      </c>
      <c r="I18" t="str">
        <v/>
      </c>
      <c r="J18">
        <v>0</v>
      </c>
      <c r="K18">
        <f>IF(J18&gt;0, IF(J18&lt;1, F18*J18, J18), 0)</f>
      </c>
      <c r="L18">
        <f>H18+I18+K18</f>
      </c>
      <c r="M18">
        <f>IF(F18&gt;0, F18-L18, -L18)</f>
      </c>
      <c r="N18">
        <f>IF(F18&gt;0, ROUND((M18/F18)*100, 1), 0)</f>
      </c>
      <c r="O18">
        <v>1000</v>
      </c>
    </row>
    <row r="19">
      <c r="A19" t="str">
        <v>18</v>
      </c>
      <c r="B19" t="str">
        <v>MJM-USB1W-12P-WHITE</v>
      </c>
      <c r="C19" t="str">
        <v>MJM 1W USB Mini LED Lamp (Pack of 12) - White</v>
      </c>
      <c r="D19" t="str">
        <v>Royal Night Lights</v>
      </c>
      <c r="E19">
        <v>226</v>
      </c>
      <c r="F19">
        <v>159</v>
      </c>
      <c r="G19" t="str">
        <v>76</v>
      </c>
      <c r="H19" t="str">
        <v/>
      </c>
      <c r="I19" t="str">
        <v/>
      </c>
      <c r="J19">
        <v>0</v>
      </c>
      <c r="K19">
        <f>IF(J19&gt;0, IF(J19&lt;1, F19*J19, J19), 0)</f>
      </c>
      <c r="L19">
        <f>H19+I19+K19</f>
      </c>
      <c r="M19">
        <f>IF(F19&gt;0, F19-L19, -L19)</f>
      </c>
      <c r="N19">
        <f>IF(F19&gt;0, ROUND((M19/F19)*100, 1), 0)</f>
      </c>
      <c r="O19">
        <v>1000</v>
      </c>
    </row>
    <row r="20">
      <c r="A20" t="str">
        <v>19</v>
      </c>
      <c r="B20" t="str">
        <v>MJM-CP6-SMALL</v>
      </c>
      <c r="C20" t="str">
        <v>MJM 24 Pcs Silicone Spiral Cable Protector Wire Saver</v>
      </c>
      <c r="D20" t="str">
        <v>Cable Connection Protectors</v>
      </c>
      <c r="E20">
        <v>171</v>
      </c>
      <c r="F20">
        <v>105</v>
      </c>
      <c r="G20" t="str">
        <v>71</v>
      </c>
      <c r="H20" t="str">
        <v/>
      </c>
      <c r="I20" t="str">
        <v/>
      </c>
      <c r="J20">
        <v>0</v>
      </c>
      <c r="K20">
        <f>IF(J20&gt;0, IF(J20&lt;1, F20*J20, J20), 0)</f>
      </c>
      <c r="L20">
        <f>H20+I20+K20</f>
      </c>
      <c r="M20">
        <f>IF(F20&gt;0, F20-L20, -L20)</f>
      </c>
      <c r="N20">
        <f>IF(F20&gt;0, ROUND((M20/F20)*100, 1), 0)</f>
      </c>
      <c r="O20">
        <v>993</v>
      </c>
    </row>
    <row r="21">
      <c r="A21" t="str">
        <v>20</v>
      </c>
      <c r="B21" t="str">
        <v>MJM-2LOCK-5PC-MULTI-01</v>
      </c>
      <c r="C21" t="str">
        <v>MJM Waterproof Mobile Cover (Pack of 5) - Multicolor</v>
      </c>
      <c r="D21" t="str">
        <v>Classy Mobile Bags</v>
      </c>
      <c r="E21">
        <v>283</v>
      </c>
      <c r="F21">
        <v>218</v>
      </c>
      <c r="G21" t="str">
        <v>77</v>
      </c>
      <c r="H21" t="str">
        <v/>
      </c>
      <c r="I21" t="str">
        <v/>
      </c>
      <c r="J21">
        <v>0</v>
      </c>
      <c r="K21">
        <f>IF(J21&gt;0, IF(J21&lt;1, F21*J21, J21), 0)</f>
      </c>
      <c r="L21">
        <f>H21+I21+K21</f>
      </c>
      <c r="M21">
        <f>IF(F21&gt;0, F21-L21, -L21)</f>
      </c>
      <c r="N21">
        <f>IF(F21&gt;0, ROUND((M21/F21)*100, 1), 0)</f>
      </c>
      <c r="O21">
        <v>1000</v>
      </c>
    </row>
    <row r="22">
      <c r="A22" t="str">
        <v>21</v>
      </c>
      <c r="B22" t="str">
        <v>MJM-3IN1-CABLE-120W-1M-BLUE-01</v>
      </c>
      <c r="C22" t="str">
        <v>MJM 3 In 1 Blue Fast Charging Cable 120W 1M</v>
      </c>
      <c r="D22" t="str">
        <v>Cables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>
        <v>0</v>
      </c>
      <c r="K22">
        <f>IF(J22&gt;0, IF(J22&lt;1, F22*J22, J22), 0)</f>
      </c>
      <c r="L22">
        <f>H22+I22+K22</f>
      </c>
      <c r="M22">
        <f>IF(F22&gt;0, F22-L22, -L22)</f>
      </c>
      <c r="N22">
        <f>IF(F22&gt;0, ROUND((M22/F22)*100, 1), 0)</f>
      </c>
      <c r="O22">
        <v>2</v>
      </c>
    </row>
    <row r="23">
      <c r="A23" t="str">
        <v>22</v>
      </c>
      <c r="B23" t="str">
        <v>MJM-3IN1-CABLE-120W-1M-ORANGE-001</v>
      </c>
      <c r="C23" t="str">
        <v>MJM 3 In 1 Orange Fast Charging Cable 120W 1M</v>
      </c>
      <c r="D23" t="str">
        <v>Cables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>
        <v>0</v>
      </c>
      <c r="K23">
        <f>IF(J23&gt;0, IF(J23&lt;1, F23*J23, J23), 0)</f>
      </c>
      <c r="L23">
        <f>H23+I23+K23</f>
      </c>
      <c r="M23">
        <f>IF(F23&gt;0, F23-L23, -L23)</f>
      </c>
      <c r="N23">
        <f>IF(F23&gt;0, ROUND((M23/F23)*100, 1), 0)</f>
      </c>
      <c r="O23">
        <v>3</v>
      </c>
    </row>
    <row r="24">
      <c r="A24" t="str">
        <v>23</v>
      </c>
      <c r="B24" t="str">
        <v>MJM-3IN1-CABLE-120W-1M-BLACK-01</v>
      </c>
      <c r="C24" t="str">
        <v>MJM 3 In 1 Black Fast Charging Cable 120W 1M</v>
      </c>
      <c r="D24" t="str">
        <v>Cables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>
        <v>0</v>
      </c>
      <c r="K24">
        <f>IF(J24&gt;0, IF(J24&lt;1, F24*J24, J24), 0)</f>
      </c>
      <c r="L24">
        <f>H24+I24+K24</f>
      </c>
      <c r="M24">
        <f>IF(F24&gt;0, F24-L24, -L24)</f>
      </c>
      <c r="N24">
        <f>IF(F24&gt;0, ROUND((M24/F24)*100, 1), 0)</f>
      </c>
      <c r="O24">
        <v>0</v>
      </c>
    </row>
    <row r="25">
      <c r="A25" t="str">
        <v>24</v>
      </c>
      <c r="B25" t="str">
        <v>MJM-SLP-5IN1-METALLIC</v>
      </c>
      <c r="C25" t="str">
        <v>MJM 5 in 1 Spiral Long Cable Protector Metallic Combo</v>
      </c>
      <c r="D25" t="str">
        <v>Cable Connection Protectors</v>
      </c>
      <c r="E25">
        <v>230</v>
      </c>
      <c r="F25">
        <v>164</v>
      </c>
      <c r="G25" t="str">
        <v>71</v>
      </c>
      <c r="H25" t="str">
        <v/>
      </c>
      <c r="I25" t="str">
        <v/>
      </c>
      <c r="J25">
        <v>0</v>
      </c>
      <c r="K25">
        <f>IF(J25&gt;0, IF(J25&lt;1, F25*J25, J25), 0)</f>
      </c>
      <c r="L25">
        <f>H25+I25+K25</f>
      </c>
      <c r="M25">
        <f>IF(F25&gt;0, F25-L25, -L25)</f>
      </c>
      <c r="N25">
        <f>IF(F25&gt;0, ROUND((M25/F25)*100, 1), 0)</f>
      </c>
      <c r="O25">
        <v>1000</v>
      </c>
    </row>
    <row r="26">
      <c r="A26" t="str">
        <v>25</v>
      </c>
      <c r="B26" t="str">
        <v>MJM-AIRDOPES-PRIME-GREEN</v>
      </c>
      <c r="C26" t="str">
        <v>MJM Airdopes Prime TWS Earbuds Bluetooth 5.4 - Green</v>
      </c>
      <c r="D26" t="str">
        <v>Bluetooth Headphones &amp; Earphones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>
        <v>0</v>
      </c>
      <c r="K26">
        <f>IF(J26&gt;0, IF(J26&lt;1, F26*J26, J26), 0)</f>
      </c>
      <c r="L26">
        <f>H26+I26+K26</f>
      </c>
      <c r="M26">
        <f>IF(F26&gt;0, F26-L26, -L26)</f>
      </c>
      <c r="N26">
        <f>IF(F26&gt;0, ROUND((M26/F26)*100, 1), 0)</f>
      </c>
      <c r="O26">
        <v>0</v>
      </c>
    </row>
    <row r="27">
      <c r="A27" t="str">
        <v>26</v>
      </c>
      <c r="B27" t="str">
        <v>MJM-AIRDOPES-PRIME-BLUE</v>
      </c>
      <c r="C27" t="str">
        <v>MJM Airdopes Prime TWS Earbuds Bluetooth 5.4 - Blue</v>
      </c>
      <c r="D27" t="str">
        <v>Bluetooth Headphones &amp; Earphones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>
        <v>0</v>
      </c>
      <c r="K27">
        <f>IF(J27&gt;0, IF(J27&lt;1, F27*J27, J27), 0)</f>
      </c>
      <c r="L27">
        <f>H27+I27+K27</f>
      </c>
      <c r="M27">
        <f>IF(F27&gt;0, F27-L27, -L27)</f>
      </c>
      <c r="N27">
        <f>IF(F27&gt;0, ROUND((M27/F27)*100, 1), 0)</f>
      </c>
      <c r="O27">
        <v>0</v>
      </c>
    </row>
    <row r="28">
      <c r="A28" t="str">
        <v>27</v>
      </c>
      <c r="B28" t="str">
        <v>MJM-AIRDOPES-PRIME-BLACK</v>
      </c>
      <c r="C28" t="str">
        <v>MJM Airdopes Prime TWS Earbuds Bluetooth 5.4 - Black</v>
      </c>
      <c r="D28" t="str">
        <v>Bluetooth Headphones &amp; Earphones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>
        <v>0</v>
      </c>
      <c r="K28">
        <f>IF(J28&gt;0, IF(J28&lt;1, F28*J28, J28), 0)</f>
      </c>
      <c r="L28">
        <f>H28+I28+K28</f>
      </c>
      <c r="M28">
        <f>IF(F28&gt;0, F28-L28, -L28)</f>
      </c>
      <c r="N28">
        <f>IF(F28&gt;0, ROUND((M28/F28)*100, 1), 0)</f>
      </c>
      <c r="O28">
        <v>0</v>
      </c>
    </row>
    <row r="29">
      <c r="A29" t="str">
        <v>28</v>
      </c>
      <c r="B29" t="str">
        <v>MJM-SMART-SCALP-MASSAGER</v>
      </c>
      <c r="C29" t="str">
        <v>MJM Smart Scalp Massager 3D Deep Kneading Electric Device</v>
      </c>
      <c r="D29" t="str">
        <v>Everyday Massagers</v>
      </c>
      <c r="E29">
        <v>475</v>
      </c>
      <c r="F29">
        <v>408</v>
      </c>
      <c r="G29" t="str">
        <v>66</v>
      </c>
      <c r="H29" t="str">
        <v/>
      </c>
      <c r="I29" t="str">
        <v/>
      </c>
      <c r="J29">
        <v>0</v>
      </c>
      <c r="K29">
        <f>IF(J29&gt;0, IF(J29&lt;1, F29*J29, J29), 0)</f>
      </c>
      <c r="L29">
        <f>H29+I29+K29</f>
      </c>
      <c r="M29">
        <f>IF(F29&gt;0, F29-L29, -L29)</f>
      </c>
      <c r="N29">
        <f>IF(F29&gt;0, ROUND((M29/F29)*100, 1), 0)</f>
      </c>
      <c r="O29">
        <v>50</v>
      </c>
    </row>
    <row r="30">
      <c r="A30" t="str">
        <v>29</v>
      </c>
      <c r="B30" t="str">
        <v>MJM-A1BIKEHOLDER-360</v>
      </c>
      <c r="C30" t="str">
        <v>MJM Waterproof Bike Mobile Mount 360° Rotatable Case</v>
      </c>
      <c r="D30" t="str">
        <v>Beautiful Motorcycle Mobile Holders</v>
      </c>
      <c r="E30">
        <v>296</v>
      </c>
      <c r="F30">
        <v>199</v>
      </c>
      <c r="G30" t="str">
        <v>82</v>
      </c>
      <c r="H30" t="str">
        <v/>
      </c>
      <c r="I30" t="str">
        <v/>
      </c>
      <c r="J30">
        <v>0</v>
      </c>
      <c r="K30">
        <f>IF(J30&gt;0, IF(J30&lt;1, F30*J30, J30), 0)</f>
      </c>
      <c r="L30">
        <f>H30+I30+K30</f>
      </c>
      <c r="M30">
        <f>IF(F30&gt;0, F30-L30, -L30)</f>
      </c>
      <c r="N30">
        <f>IF(F30&gt;0, ROUND((M30/F30)*100, 1), 0)</f>
      </c>
      <c r="O30">
        <v>30</v>
      </c>
    </row>
    <row r="31">
      <c r="A31" t="str">
        <v>30</v>
      </c>
      <c r="B31" t="str">
        <v>MJM-BROWN-A07-5G-FC-GLASS</v>
      </c>
      <c r="C31" t="str">
        <v>MJM Wallet Flip Cover + HD+ Glass (Samsung A07 5G) - Brown</v>
      </c>
      <c r="D31" t="str">
        <v>Samsung A07 Cases &amp; Covers</v>
      </c>
      <c r="E31" t="str">
        <v/>
      </c>
      <c r="F31" t="str">
        <v/>
      </c>
      <c r="G31" t="str">
        <v/>
      </c>
      <c r="H31" t="str">
        <v/>
      </c>
      <c r="I31" t="str">
        <v/>
      </c>
      <c r="J31">
        <v>0</v>
      </c>
      <c r="K31">
        <f>IF(J31&gt;0, IF(J31&lt;1, F31*J31, J31), 0)</f>
      </c>
      <c r="L31">
        <f>H31+I31+K31</f>
      </c>
      <c r="M31">
        <f>IF(F31&gt;0, F31-L31, -L31)</f>
      </c>
      <c r="N31">
        <f>IF(F31&gt;0, ROUND((M31/F31)*100, 1), 0)</f>
      </c>
      <c r="O31">
        <v>0</v>
      </c>
    </row>
    <row r="32">
      <c r="A32" t="str">
        <v>31</v>
      </c>
      <c r="B32" t="str">
        <v>MJM-BLK-A07-5G-FC-GLASS</v>
      </c>
      <c r="C32" t="str">
        <v>MJM Wallet Flip Cover + HD+ Glass (Samsung A07 5G) - Black</v>
      </c>
      <c r="D32" t="str">
        <v>Samsung A07 Cases &amp; Covers</v>
      </c>
      <c r="E32">
        <v>170</v>
      </c>
      <c r="F32">
        <v>100</v>
      </c>
      <c r="G32" t="str">
        <v>88</v>
      </c>
      <c r="H32" t="str">
        <v/>
      </c>
      <c r="I32" t="str">
        <v/>
      </c>
      <c r="J32">
        <v>0</v>
      </c>
      <c r="K32">
        <f>IF(J32&gt;0, IF(J32&lt;1, F32*J32, J32), 0)</f>
      </c>
      <c r="L32">
        <f>H32+I32+K32</f>
      </c>
      <c r="M32">
        <f>IF(F32&gt;0, F32-L32, -L32)</f>
      </c>
      <c r="N32">
        <f>IF(F32&gt;0, ROUND((M32/F32)*100, 1), 0)</f>
      </c>
      <c r="O32">
        <v>50</v>
      </c>
    </row>
    <row r="33">
      <c r="A33" t="str">
        <v>32</v>
      </c>
      <c r="B33" t="str">
        <v>MJM-BLU-A07-5G-FC-GLASS</v>
      </c>
      <c r="C33" t="str">
        <v>MJM Wallet Flip Cover + HD+ Glass (Samsung A07 5G) - Blue</v>
      </c>
      <c r="D33" t="str">
        <v>Samsung A07 Cases &amp; Covers</v>
      </c>
      <c r="E33">
        <v>170</v>
      </c>
      <c r="F33">
        <v>100</v>
      </c>
      <c r="G33" t="str">
        <v>88</v>
      </c>
      <c r="H33" t="str">
        <v/>
      </c>
      <c r="I33" t="str">
        <v/>
      </c>
      <c r="J33">
        <v>0</v>
      </c>
      <c r="K33">
        <f>IF(J33&gt;0, IF(J33&lt;1, F33*J33, J33), 0)</f>
      </c>
      <c r="L33">
        <f>H33+I33+K33</f>
      </c>
      <c r="M33">
        <f>IF(F33&gt;0, F33-L33, -L33)</f>
      </c>
      <c r="N33">
        <f>IF(F33&gt;0, ROUND((M33/F33)*100, 1), 0)</f>
      </c>
      <c r="O33">
        <v>50</v>
      </c>
    </row>
    <row r="34">
      <c r="A34" t="str">
        <v>33</v>
      </c>
      <c r="B34" t="str">
        <v>MJM-3IN1-CABLE-120W-1M-ORANGE</v>
      </c>
      <c r="C34" t="str">
        <v>MJM 3 In 1 Fast Charging Cable 120W Super Charge 1M</v>
      </c>
      <c r="D34" t="str">
        <v>Cables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>
        <v>0</v>
      </c>
      <c r="K34">
        <f>IF(J34&gt;0, IF(J34&lt;1, F34*J34, J34), 0)</f>
      </c>
      <c r="L34">
        <f>H34+I34+K34</f>
      </c>
      <c r="M34">
        <f>IF(F34&gt;0, F34-L34, -L34)</f>
      </c>
      <c r="N34">
        <f>IF(F34&gt;0, ROUND((M34/F34)*100, 1), 0)</f>
      </c>
      <c r="O34">
        <v>2</v>
      </c>
    </row>
    <row r="35">
      <c r="A35" t="str">
        <v>34</v>
      </c>
      <c r="B35" t="str">
        <v>MJM-A07FC-GLASS-BRN-001</v>
      </c>
      <c r="C35" t="str">
        <v>MJM Leather Flip Cover + HD+ Glass (Samsung A07 5G) - Brown</v>
      </c>
      <c r="D35" t="str">
        <v>Samsung A07 Cases &amp; Covers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>
        <v>0</v>
      </c>
      <c r="K35">
        <f>IF(J35&gt;0, IF(J35&lt;1, F35*J35, J35), 0)</f>
      </c>
      <c r="L35">
        <f>H35+I35+K35</f>
      </c>
      <c r="M35">
        <f>IF(F35&gt;0, F35-L35, -L35)</f>
      </c>
      <c r="N35">
        <f>IF(F35&gt;0, ROUND((M35/F35)*100, 1), 0)</f>
      </c>
      <c r="O35">
        <v>0</v>
      </c>
    </row>
    <row r="36">
      <c r="A36" t="str">
        <v>35</v>
      </c>
      <c r="B36" t="str">
        <v>MJM-A07BRN-FLP</v>
      </c>
      <c r="C36" t="str">
        <v>MJM Leather Flip Cover Wallet Case (Samsung A07 5G) - Brown</v>
      </c>
      <c r="D36" t="str">
        <v>Samsung A07 Cases &amp; Covers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>
        <v>0</v>
      </c>
      <c r="K36">
        <f>IF(J36&gt;0, IF(J36&lt;1, F36*J36, J36), 0)</f>
      </c>
      <c r="L36">
        <f>H36+I36+K36</f>
      </c>
      <c r="M36">
        <f>IF(F36&gt;0, F36-L36, -L36)</f>
      </c>
      <c r="N36">
        <f>IF(F36&gt;0, ROUND((M36/F36)*100, 1), 0)</f>
      </c>
      <c r="O36">
        <v>0</v>
      </c>
    </row>
    <row r="37">
      <c r="A37" t="str">
        <v>36</v>
      </c>
      <c r="B37" t="str">
        <v>MJM-CP18-BTB54</v>
      </c>
      <c r="C37" t="str">
        <v>MJM Crystal Pro Wireless Earbuds Bluetooth 5.4 Type-C</v>
      </c>
      <c r="D37" t="str">
        <v>Bluetooth Headphones &amp; Earphones</v>
      </c>
      <c r="E37">
        <v>409</v>
      </c>
      <c r="F37">
        <v>328</v>
      </c>
      <c r="G37" t="str">
        <v>95</v>
      </c>
      <c r="H37" t="str">
        <v/>
      </c>
      <c r="I37" t="str">
        <v/>
      </c>
      <c r="J37">
        <v>0</v>
      </c>
      <c r="K37">
        <f>IF(J37&gt;0, IF(J37&lt;1, F37*J37, J37), 0)</f>
      </c>
      <c r="L37">
        <f>H37+I37+K37</f>
      </c>
      <c r="M37">
        <f>IF(F37&gt;0, F37-L37, -L37)</f>
      </c>
      <c r="N37">
        <f>IF(F37&gt;0, ROUND((M37/F37)*100, 1), 0)</f>
      </c>
      <c r="O37">
        <v>3</v>
      </c>
    </row>
    <row r="38">
      <c r="A38" t="str">
        <v>37</v>
      </c>
      <c r="B38" t="str">
        <v>L396-STAND</v>
      </c>
      <c r="C38" t="str">
        <v>MJM Premium Metal Mobile Stand 360° Rotation Desk Holder</v>
      </c>
      <c r="D38" t="str">
        <v>Classy Mobile Holders</v>
      </c>
      <c r="E38">
        <v>220</v>
      </c>
      <c r="F38">
        <v>159</v>
      </c>
      <c r="G38" t="str">
        <v>73</v>
      </c>
      <c r="H38" t="str">
        <v/>
      </c>
      <c r="I38" t="str">
        <v/>
      </c>
      <c r="J38">
        <v>0</v>
      </c>
      <c r="K38">
        <f>IF(J38&gt;0, IF(J38&lt;1, F38*J38, J38), 0)</f>
      </c>
      <c r="L38">
        <f>H38+I38+K38</f>
      </c>
      <c r="M38">
        <f>IF(F38&gt;0, F38-L38, -L38)</f>
      </c>
      <c r="N38">
        <f>IF(F38&gt;0, ROUND((M38/F38)*100, 1), 0)</f>
      </c>
      <c r="O38">
        <v>915</v>
      </c>
    </row>
    <row r="39">
      <c r="A39" t="str">
        <v>38</v>
      </c>
      <c r="B39" t="str">
        <v>L396-Hoola-Stand</v>
      </c>
      <c r="C39" t="str">
        <v>MJM 2 in 1 Mobile Stand Combo (Metal Holder + 360° Stand)</v>
      </c>
      <c r="D39" t="str">
        <v>Unique Mobile Holders</v>
      </c>
      <c r="E39">
        <v>280</v>
      </c>
      <c r="F39">
        <v>219</v>
      </c>
      <c r="G39" t="str">
        <v>73</v>
      </c>
      <c r="H39" t="str">
        <v/>
      </c>
      <c r="I39" t="str">
        <v/>
      </c>
      <c r="J39">
        <v>0</v>
      </c>
      <c r="K39">
        <f>IF(J39&gt;0, IF(J39&lt;1, F39*J39, J39), 0)</f>
      </c>
      <c r="L39">
        <f>H39+I39+K39</f>
      </c>
      <c r="M39">
        <f>IF(F39&gt;0, F39-L39, -L39)</f>
      </c>
      <c r="N39">
        <f>IF(F39&gt;0, ROUND((M39/F39)*100, 1), 0)</f>
      </c>
      <c r="O39">
        <v>100</v>
      </c>
    </row>
    <row r="40">
      <c r="A40" t="str">
        <v>39</v>
      </c>
      <c r="B40" t="str">
        <v>Blackcrystlepro</v>
      </c>
      <c r="C40" t="str">
        <v>MJM Crystal Pro Wireless Earbuds Smart LED Display - Black</v>
      </c>
      <c r="D40" t="str">
        <v>Bluetooth Headphones &amp; Earphones</v>
      </c>
      <c r="E40">
        <v>409</v>
      </c>
      <c r="F40">
        <v>328</v>
      </c>
      <c r="G40" t="str">
        <v>95</v>
      </c>
      <c r="H40" t="str">
        <v/>
      </c>
      <c r="I40" t="str">
        <v/>
      </c>
      <c r="J40">
        <v>0</v>
      </c>
      <c r="K40">
        <f>IF(J40&gt;0, IF(J40&lt;1, F40*J40, J40), 0)</f>
      </c>
      <c r="L40">
        <f>H40+I40+K40</f>
      </c>
      <c r="M40">
        <f>IF(F40&gt;0, F40-L40, -L40)</f>
      </c>
      <c r="N40">
        <f>IF(F40&gt;0, ROUND((M40/F40)*100, 1), 0)</f>
      </c>
      <c r="O40">
        <v>5</v>
      </c>
    </row>
    <row r="41">
      <c r="A41" t="str">
        <v>40</v>
      </c>
      <c r="B41" t="str">
        <v>PT05-BIKESTAND</v>
      </c>
      <c r="C41" t="str">
        <v>MJM 360° Rotating Bike Mobile Holder Handlebar Mount</v>
      </c>
      <c r="D41" t="str">
        <v>Beautiful Motorcycle Mobile Holders</v>
      </c>
      <c r="E41">
        <v>275</v>
      </c>
      <c r="F41">
        <v>199</v>
      </c>
      <c r="G41" t="str">
        <v>82</v>
      </c>
      <c r="H41" t="str">
        <v/>
      </c>
      <c r="I41" t="str">
        <v/>
      </c>
      <c r="J41">
        <v>0</v>
      </c>
      <c r="K41">
        <f>IF(J41&gt;0, IF(J41&lt;1, F41*J41, J41), 0)</f>
      </c>
      <c r="L41">
        <f>H41+I41+K41</f>
      </c>
      <c r="M41">
        <f>IF(F41&gt;0, F41-L41, -L41)</f>
      </c>
      <c r="N41">
        <f>IF(F41&gt;0, ROUND((M41/F41)*100, 1), 0)</f>
      </c>
      <c r="O41">
        <v>546</v>
      </c>
    </row>
    <row r="42">
      <c r="A42" t="str">
        <v>41</v>
      </c>
      <c r="B42" t="str">
        <v>Crystalpro-black</v>
      </c>
      <c r="C42" t="str">
        <v>MJM Crystal Pro Wireless Earbuds 48H Playback Smart LED</v>
      </c>
      <c r="D42" t="str">
        <v>Bluetooth Headphones &amp; Earphones</v>
      </c>
      <c r="E42">
        <v>378</v>
      </c>
      <c r="F42">
        <v>299</v>
      </c>
      <c r="G42" t="str">
        <v>95</v>
      </c>
      <c r="H42" t="str">
        <v/>
      </c>
      <c r="I42" t="str">
        <v/>
      </c>
      <c r="J42">
        <v>0</v>
      </c>
      <c r="K42">
        <f>IF(J42&gt;0, IF(J42&lt;1, F42*J42, J42), 0)</f>
      </c>
      <c r="L42">
        <f>H42+I42+K42</f>
      </c>
      <c r="M42">
        <f>IF(F42&gt;0, F42-L42, -L42)</f>
      </c>
      <c r="N42">
        <f>IF(F42&gt;0, ROUND((M42/F42)*100, 1), 0)</f>
      </c>
      <c r="O42">
        <v>8</v>
      </c>
    </row>
    <row r="43">
      <c r="A43" t="str">
        <v>42</v>
      </c>
      <c r="B43" t="str">
        <v>1Lazystand+4wallstand</v>
      </c>
      <c r="C43" t="str">
        <v>MJM 5 in 1 Mobile Stand Combo (Lazy Stand + 4 Wall Mounts)</v>
      </c>
      <c r="D43" t="str">
        <v>Unique Mobile Holders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>
        <v>0</v>
      </c>
      <c r="K43">
        <f>IF(J43&gt;0, IF(J43&lt;1, F43*J43, J43), 0)</f>
      </c>
      <c r="L43">
        <f>H43+I43+K43</f>
      </c>
      <c r="M43">
        <f>IF(F43&gt;0, F43-L43, -L43)</f>
      </c>
      <c r="N43">
        <f>IF(F43&gt;0, ROUND((M43/F43)*100, 1), 0)</f>
      </c>
      <c r="O43">
        <v>50</v>
      </c>
    </row>
    <row r="44">
      <c r="A44" t="str">
        <v>43</v>
      </c>
      <c r="B44" t="str">
        <v>Mjm-minimassagegun</v>
      </c>
      <c r="C44" t="str">
        <v>MJM Portable Fascia Gun Deep Tissue Muscle Massager</v>
      </c>
      <c r="D44" t="str">
        <v>Fancy Massagers</v>
      </c>
      <c r="E44">
        <v>555</v>
      </c>
      <c r="F44">
        <v>468</v>
      </c>
      <c r="G44" t="str">
        <v>66</v>
      </c>
      <c r="H44" t="str">
        <v/>
      </c>
      <c r="I44" t="str">
        <v/>
      </c>
      <c r="J44">
        <v>0</v>
      </c>
      <c r="K44">
        <f>IF(J44&gt;0, IF(J44&lt;1, F44*J44, J44), 0)</f>
      </c>
      <c r="L44">
        <f>H44+I44+K44</f>
      </c>
      <c r="M44">
        <f>IF(F44&gt;0, F44-L44, -L44)</f>
      </c>
      <c r="N44">
        <f>IF(F44&gt;0, ROUND((M44/F44)*100, 1), 0)</f>
      </c>
      <c r="O44">
        <v>49</v>
      </c>
    </row>
    <row r="45">
      <c r="A45" t="str">
        <v>44</v>
      </c>
      <c r="B45" t="str">
        <v>Y20Brownflip+Glass</v>
      </c>
      <c r="C45" t="str">
        <v>MJM Brown Flip Cover + HD+ Tempered Glass Combo (Vivo Y20)</v>
      </c>
      <c r="D45" t="str">
        <v>Vivo Y20 Cases &amp; Covers</v>
      </c>
      <c r="E45">
        <v>168</v>
      </c>
      <c r="F45">
        <v>100</v>
      </c>
      <c r="G45" t="str">
        <v>88</v>
      </c>
      <c r="H45" t="str">
        <v/>
      </c>
      <c r="I45" t="str">
        <v/>
      </c>
      <c r="J45">
        <v>0</v>
      </c>
      <c r="K45">
        <f>IF(J45&gt;0, IF(J45&lt;1, F45*J45, J45), 0)</f>
      </c>
      <c r="L45">
        <f>H45+I45+K45</f>
      </c>
      <c r="M45">
        <f>IF(F45&gt;0, F45-L45, -L45)</f>
      </c>
      <c r="N45">
        <f>IF(F45&gt;0, ROUND((M45/F45)*100, 1), 0)</f>
      </c>
      <c r="O45">
        <v>47</v>
      </c>
    </row>
    <row r="46">
      <c r="A46" t="str">
        <v>45</v>
      </c>
      <c r="B46" t="str">
        <v>MJM-BLUE-Y20-FLTG</v>
      </c>
      <c r="C46" t="str">
        <v>MJM Blue Flip Cover + HD+ Tempered Glass Combo (Vivo Y20)</v>
      </c>
      <c r="D46" t="str">
        <v>Vivo Y20 Cases &amp; Covers</v>
      </c>
      <c r="E46">
        <v>168</v>
      </c>
      <c r="F46">
        <v>100</v>
      </c>
      <c r="G46" t="str">
        <v>88</v>
      </c>
      <c r="H46" t="str">
        <v/>
      </c>
      <c r="I46" t="str">
        <v/>
      </c>
      <c r="J46">
        <v>0</v>
      </c>
      <c r="K46">
        <f>IF(J46&gt;0, IF(J46&lt;1, F46*J46, J46), 0)</f>
      </c>
      <c r="L46">
        <f>H46+I46+K46</f>
      </c>
      <c r="M46">
        <f>IF(F46&gt;0, F46-L46, -L46)</f>
      </c>
      <c r="N46">
        <f>IF(F46&gt;0, ROUND((M46/F46)*100, 1), 0)</f>
      </c>
      <c r="O46">
        <v>49</v>
      </c>
    </row>
    <row r="47">
      <c r="A47" t="str">
        <v>46</v>
      </c>
      <c r="B47" t="str">
        <v>MJM-BLACK-Y20-FLTG</v>
      </c>
      <c r="C47" t="str">
        <v>MJM Black Flip Cover + HD+ Tempered Glass Combo (Vivo Y20)</v>
      </c>
      <c r="D47" t="str">
        <v>Vivo Y20 Cases &amp; Covers</v>
      </c>
      <c r="E47">
        <v>170</v>
      </c>
      <c r="F47">
        <v>100</v>
      </c>
      <c r="G47" t="str">
        <v>88</v>
      </c>
      <c r="H47" t="str">
        <v/>
      </c>
      <c r="I47" t="str">
        <v/>
      </c>
      <c r="J47">
        <v>0</v>
      </c>
      <c r="K47">
        <f>IF(J47&gt;0, IF(J47&lt;1, F47*J47, J47), 0)</f>
      </c>
      <c r="L47">
        <f>H47+I47+K47</f>
      </c>
      <c r="M47">
        <f>IF(F47&gt;0, F47-L47, -L47)</f>
      </c>
      <c r="N47">
        <f>IF(F47&gt;0, ROUND((M47/F47)*100, 1), 0)</f>
      </c>
      <c r="O47">
        <v>48</v>
      </c>
    </row>
    <row r="48">
      <c r="A48" t="str">
        <v>47</v>
      </c>
      <c r="B48" t="str">
        <v>10pcsoffwhite-ledleo</v>
      </c>
      <c r="C48" t="str">
        <v>MJM 10 Pcs 10W LED Bulb Combo Pack - Off White B22</v>
      </c>
      <c r="D48" t="str">
        <v>Classy Light Bulbs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>
        <v>0</v>
      </c>
      <c r="K48">
        <f>IF(J48&gt;0, IF(J48&lt;1, F48*J48, J48), 0)</f>
      </c>
      <c r="L48">
        <f>H48+I48+K48</f>
      </c>
      <c r="M48">
        <f>IF(F48&gt;0, F48-L48, -L48)</f>
      </c>
      <c r="N48">
        <f>IF(F48&gt;0, ROUND((M48/F48)*100, 1), 0)</f>
      </c>
      <c r="O48">
        <v>0</v>
      </c>
    </row>
    <row r="49">
      <c r="A49" t="str">
        <v>48</v>
      </c>
      <c r="B49" t="str">
        <v>10wled-10pcs-leo</v>
      </c>
      <c r="C49" t="str">
        <v>MJM 10 Pcs 10W LED Bulb Combo Pack - Cool White B22</v>
      </c>
      <c r="D49" t="str">
        <v>Classy Light Bulbs</v>
      </c>
      <c r="E49">
        <v>334</v>
      </c>
      <c r="F49">
        <v>199</v>
      </c>
      <c r="G49" t="str">
        <v>79</v>
      </c>
      <c r="H49" t="str">
        <v/>
      </c>
      <c r="I49" t="str">
        <v/>
      </c>
      <c r="J49">
        <v>0</v>
      </c>
      <c r="K49">
        <f>IF(J49&gt;0, IF(J49&lt;1, F49*J49, J49), 0)</f>
      </c>
      <c r="L49">
        <f>H49+I49+K49</f>
      </c>
      <c r="M49">
        <f>IF(F49&gt;0, F49-L49, -L49)</f>
      </c>
      <c r="N49">
        <f>IF(F49&gt;0, ROUND((M49/F49)*100, 1), 0)</f>
      </c>
      <c r="O49">
        <v>468</v>
      </c>
    </row>
    <row r="50">
      <c r="A50" t="str">
        <v>49</v>
      </c>
      <c r="B50" t="str">
        <v>lazystandwallstand</v>
      </c>
      <c r="C50" t="str">
        <v>MJM Mobile Stand Combo (1 Lazy Stand + 4 Adhesive Wall Mounts)</v>
      </c>
      <c r="D50" t="str">
        <v>Fancy Mobile Holders</v>
      </c>
      <c r="E50">
        <v>354</v>
      </c>
      <c r="F50">
        <v>289</v>
      </c>
      <c r="G50" t="str">
        <v>73</v>
      </c>
      <c r="H50" t="str">
        <v/>
      </c>
      <c r="I50" t="str">
        <v/>
      </c>
      <c r="J50">
        <v>0</v>
      </c>
      <c r="K50">
        <f>IF(J50&gt;0, IF(J50&lt;1, F50*J50, J50), 0)</f>
      </c>
      <c r="L50">
        <f>H50+I50+K50</f>
      </c>
      <c r="M50">
        <f>IF(F50&gt;0, F50-L50, -L50)</f>
      </c>
      <c r="N50">
        <f>IF(F50&gt;0, ROUND((M50/F50)*100, 1), 0)</f>
      </c>
      <c r="O50">
        <v>50</v>
      </c>
    </row>
    <row r="51">
      <c r="A51" t="str">
        <v>50</v>
      </c>
      <c r="B51" t="str">
        <v>3lockrainpouch-8pc</v>
      </c>
      <c r="C51" t="str">
        <v>MJM Waterproof Mobile Pouch Touch-Friendly (Pack of 8)</v>
      </c>
      <c r="D51" t="str">
        <v>Everyday Mobile Bags</v>
      </c>
      <c r="E51">
        <v>210</v>
      </c>
      <c r="F51">
        <v>145</v>
      </c>
      <c r="G51" t="str">
        <v>77</v>
      </c>
      <c r="H51" t="str">
        <v/>
      </c>
      <c r="I51" t="str">
        <v/>
      </c>
      <c r="J51">
        <v>0</v>
      </c>
      <c r="K51">
        <f>IF(J51&gt;0, IF(J51&lt;1, F51*J51, J51), 0)</f>
      </c>
      <c r="L51">
        <f>H51+I51+K51</f>
      </c>
      <c r="M51">
        <f>IF(F51&gt;0, F51-L51, -L51)</f>
      </c>
      <c r="N51">
        <f>IF(F51&gt;0, ROUND((M51/F51)*100, 1), 0)</f>
      </c>
      <c r="O51">
        <v>943</v>
      </c>
    </row>
    <row r="52">
      <c r="A52" t="str">
        <v>51</v>
      </c>
      <c r="B52" t="str">
        <v>Lazystand-wallmount4</v>
      </c>
      <c r="C52" t="str">
        <v>MJM Mobile Stand Set (1 Lazy Stand + 4 Wall Holders)</v>
      </c>
      <c r="D52" t="str">
        <v>New Collections Of Mobile Holders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>
        <v>0</v>
      </c>
      <c r="K52">
        <f>IF(J52&gt;0, IF(J52&lt;1, F52*J52, J52), 0)</f>
      </c>
      <c r="L52">
        <f>H52+I52+K52</f>
      </c>
      <c r="M52">
        <f>IF(F52&gt;0, F52-L52, -L52)</f>
      </c>
      <c r="N52">
        <f>IF(F52&gt;0, ROUND((M52/F52)*100, 1), 0)</f>
      </c>
      <c r="O52">
        <v>50</v>
      </c>
    </row>
    <row r="53">
      <c r="A53" t="str">
        <v>52</v>
      </c>
      <c r="B53" t="str">
        <v>Smileyball-6pc</v>
      </c>
      <c r="C53" t="str">
        <v>MJM Smiley Squeeze Balls Pack of 6 Stress Relief Balls</v>
      </c>
      <c r="D53" t="str">
        <v>Balls</v>
      </c>
      <c r="E53">
        <v>195</v>
      </c>
      <c r="F53">
        <v>120</v>
      </c>
      <c r="G53" t="str">
        <v>78</v>
      </c>
      <c r="H53" t="str">
        <v/>
      </c>
      <c r="I53" t="str">
        <v/>
      </c>
      <c r="J53">
        <v>0</v>
      </c>
      <c r="K53">
        <f>IF(J53&gt;0, IF(J53&lt;1, F53*J53, J53), 0)</f>
      </c>
      <c r="L53">
        <f>H53+I53+K53</f>
      </c>
      <c r="M53">
        <f>IF(F53&gt;0, F53-L53, -L53)</f>
      </c>
      <c r="N53">
        <f>IF(F53&gt;0, ROUND((M53/F53)*100, 1), 0)</f>
      </c>
      <c r="O53">
        <v>100</v>
      </c>
    </row>
    <row r="54">
      <c r="A54" t="str">
        <v>53</v>
      </c>
      <c r="B54" t="str">
        <v>MJM-Smileyball-12pc</v>
      </c>
      <c r="C54" t="str">
        <v>MJM Smiley Squeeze Balls Pack of 12 Stress Relief Balls</v>
      </c>
      <c r="D54" t="str">
        <v>Balls</v>
      </c>
      <c r="E54">
        <v>267</v>
      </c>
      <c r="F54">
        <v>189</v>
      </c>
      <c r="G54" t="str">
        <v>78</v>
      </c>
      <c r="H54" t="str">
        <v/>
      </c>
      <c r="I54" t="str">
        <v/>
      </c>
      <c r="J54">
        <v>0</v>
      </c>
      <c r="K54">
        <f>IF(J54&gt;0, IF(J54&lt;1, F54*J54, J54), 0)</f>
      </c>
      <c r="L54">
        <f>H54+I54+K54</f>
      </c>
      <c r="M54">
        <f>IF(F54&gt;0, F54-L54, -L54)</f>
      </c>
      <c r="N54">
        <f>IF(F54&gt;0, ROUND((M54/F54)*100, 1), 0)</f>
      </c>
      <c r="O54">
        <v>100</v>
      </c>
    </row>
    <row r="55">
      <c r="A55" t="str">
        <v>54</v>
      </c>
      <c r="B55" t="str">
        <v>MJM-MTLSTND-CMB02</v>
      </c>
      <c r="C55" t="str">
        <v>MJM 2 in 1 Metal Desktop Mobile &amp; Tablet Stand Combo</v>
      </c>
      <c r="D55" t="str">
        <v>Classic Mobile Holders</v>
      </c>
      <c r="E55">
        <v>189</v>
      </c>
      <c r="F55">
        <v>130</v>
      </c>
      <c r="G55" t="str">
        <v>73</v>
      </c>
      <c r="H55" t="str">
        <v/>
      </c>
      <c r="I55" t="str">
        <v/>
      </c>
      <c r="J55">
        <v>0</v>
      </c>
      <c r="K55">
        <f>IF(J55&gt;0, IF(J55&lt;1, F55*J55, J55), 0)</f>
      </c>
      <c r="L55">
        <f>H55+I55+K55</f>
      </c>
      <c r="M55">
        <f>IF(F55&gt;0, F55-L55, -L55)</f>
      </c>
      <c r="N55">
        <f>IF(F55&gt;0, ROUND((M55/F55)*100, 1), 0)</f>
      </c>
      <c r="O55">
        <v>40</v>
      </c>
    </row>
    <row r="56">
      <c r="A56" t="str">
        <v>55</v>
      </c>
      <c r="B56" t="str">
        <v>doublelock-rain-pouch-10pc</v>
      </c>
      <c r="C56" t="str">
        <v>MJM Universal Double Lock Waterproof Mobile Pouch (Pack of 10)</v>
      </c>
      <c r="D56" t="str">
        <v>Fancy Mobile Bags</v>
      </c>
      <c r="E56">
        <v>326</v>
      </c>
      <c r="F56">
        <v>259</v>
      </c>
      <c r="G56" t="str">
        <v>77</v>
      </c>
      <c r="H56" t="str">
        <v/>
      </c>
      <c r="I56" t="str">
        <v/>
      </c>
      <c r="J56">
        <v>0</v>
      </c>
      <c r="K56">
        <f>IF(J56&gt;0, IF(J56&lt;1, F56*J56, J56), 0)</f>
      </c>
      <c r="L56">
        <f>H56+I56+K56</f>
      </c>
      <c r="M56">
        <f>IF(F56&gt;0, F56-L56, -L56)</f>
      </c>
      <c r="N56">
        <f>IF(F56&gt;0, ROUND((M56/F56)*100, 1), 0)</f>
      </c>
      <c r="O56">
        <v>90</v>
      </c>
    </row>
    <row r="57">
      <c r="A57" t="str">
        <v>56</v>
      </c>
      <c r="B57" t="str">
        <v>magicbookslate</v>
      </c>
      <c r="C57" t="str">
        <v>MJM Sank 4-Book Magic Practice Copybook + 8.5" LCD Tablet</v>
      </c>
      <c r="D57" t="str">
        <v>Styles Kids Reading &amp; Writing Toys</v>
      </c>
      <c r="E57">
        <v>308</v>
      </c>
      <c r="F57">
        <v>239</v>
      </c>
      <c r="G57" t="str">
        <v>65</v>
      </c>
      <c r="H57" t="str">
        <v/>
      </c>
      <c r="I57" t="str">
        <v/>
      </c>
      <c r="J57">
        <v>0</v>
      </c>
      <c r="K57">
        <f>IF(J57&gt;0, IF(J57&lt;1, F57*J57, J57), 0)</f>
      </c>
      <c r="L57">
        <f>H57+I57+K57</f>
      </c>
      <c r="M57">
        <f>IF(F57&gt;0, F57-L57, -L57)</f>
      </c>
      <c r="N57">
        <f>IF(F57&gt;0, ROUND((M57/F57)*100, 1), 0)</f>
      </c>
      <c r="O57">
        <v>10</v>
      </c>
    </row>
    <row r="58">
      <c r="A58" t="str">
        <v>57</v>
      </c>
      <c r="B58" t="str">
        <v>Dancing-Cactus-01</v>
      </c>
      <c r="C58" t="str">
        <v>MJM Interactive Dancing Talking Mimicking Cactus Plush Toy</v>
      </c>
      <c r="D58" t="str">
        <v>Attractive Kids Musical Toys</v>
      </c>
      <c r="E58">
        <v>438</v>
      </c>
      <c r="F58">
        <v>318</v>
      </c>
      <c r="G58" t="str">
        <v>102</v>
      </c>
      <c r="H58" t="str">
        <v/>
      </c>
      <c r="I58" t="str">
        <v/>
      </c>
      <c r="J58">
        <v>0</v>
      </c>
      <c r="K58">
        <f>IF(J58&gt;0, IF(J58&lt;1, F58*J58, J58), 0)</f>
      </c>
      <c r="L58">
        <f>H58+I58+K58</f>
      </c>
      <c r="M58">
        <f>IF(F58&gt;0, F58-L58, -L58)</f>
      </c>
      <c r="N58">
        <f>IF(F58&gt;0, ROUND((M58/F58)*100, 1), 0)</f>
      </c>
      <c r="O58">
        <v>998</v>
      </c>
    </row>
    <row r="59">
      <c r="A59" t="str">
        <v>58</v>
      </c>
      <c r="B59" t="str">
        <v>MJM-CLFAN</v>
      </c>
      <c r="C59" t="str">
        <v>MJM Cool Fan - Portable Smart Table Fan</v>
      </c>
      <c r="D59" t="str">
        <v>Fabulous Table Fans</v>
      </c>
      <c r="E59" t="str">
        <v/>
      </c>
      <c r="F59" t="str">
        <v/>
      </c>
      <c r="G59" t="str">
        <v/>
      </c>
      <c r="H59" t="str">
        <v/>
      </c>
      <c r="I59" t="str">
        <v/>
      </c>
      <c r="J59">
        <v>0</v>
      </c>
      <c r="K59">
        <f>IF(J59&gt;0, IF(J59&lt;1, F59*J59, J59), 0)</f>
      </c>
      <c r="L59">
        <f>H59+I59+K59</f>
      </c>
      <c r="M59">
        <f>IF(F59&gt;0, F59-L59, -L59)</f>
      </c>
      <c r="N59">
        <f>IF(F59&gt;0, ROUND((M59/F59)*100, 1), 0)</f>
      </c>
      <c r="O59">
        <v>0</v>
      </c>
    </row>
    <row r="60">
      <c r="A60" t="str">
        <v>59</v>
      </c>
      <c r="B60" t="str">
        <v>Bluetooth Speakers</v>
      </c>
      <c r="C60" t="str">
        <v>Mini Bluetooth Speaker with HD Sound &amp; RGB Lights</v>
      </c>
      <c r="D60" t="str">
        <v>Bluetooth Speakers</v>
      </c>
      <c r="E60">
        <v>410</v>
      </c>
      <c r="F60">
        <v>327</v>
      </c>
      <c r="G60" t="str">
        <v>112</v>
      </c>
      <c r="H60" t="str">
        <v/>
      </c>
      <c r="I60" t="str">
        <v/>
      </c>
      <c r="J60">
        <v>0</v>
      </c>
      <c r="K60">
        <f>IF(J60&gt;0, IF(J60&lt;1, F60*J60, J60), 0)</f>
      </c>
      <c r="L60">
        <f>H60+I60+K60</f>
      </c>
      <c r="M60">
        <f>IF(F60&gt;0, F60-L60, -L60)</f>
      </c>
      <c r="N60">
        <f>IF(F60&gt;0, ROUND((M60/F60)*100, 1), 0)</f>
      </c>
      <c r="O60">
        <v>49</v>
      </c>
    </row>
  </sheetData>
  <ignoredErrors>
    <ignoredError numberStoredAsText="1" sqref="A1:O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SKU_Master_Costing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